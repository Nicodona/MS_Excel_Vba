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jein\Desktop\vbaAfritech\"/>
    </mc:Choice>
  </mc:AlternateContent>
  <bookViews>
    <workbookView xWindow="0" yWindow="0" windowWidth="19368" windowHeight="10644"/>
  </bookViews>
  <sheets>
    <sheet name="Sheet1" sheetId="1" r:id="rId1"/>
    <sheet name="Sheet2" sheetId="2" r:id="rId2"/>
    <sheet name="Sheet3" sheetId="4" r:id="rId3"/>
    <sheet name="sheet4" sheetId="3" r:id="rId4"/>
    <sheet name="Sheet5" sheetId="5" r:id="rId5"/>
  </sheets>
  <externalReferences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I16" i="2"/>
  <c r="L16" i="2"/>
  <c r="L8" i="1" l="1"/>
  <c r="M8" i="1" s="1"/>
  <c r="L7" i="1"/>
  <c r="M7" i="1" s="1"/>
  <c r="M9" i="1" l="1"/>
  <c r="G14" i="2"/>
  <c r="I14" i="2"/>
  <c r="L14" i="2"/>
  <c r="P2" i="2"/>
  <c r="L2" i="2"/>
  <c r="L3" i="2"/>
  <c r="L4" i="2"/>
  <c r="L5" i="2"/>
  <c r="L6" i="2"/>
  <c r="L8" i="2"/>
  <c r="L9" i="2"/>
  <c r="L10" i="2"/>
  <c r="L11" i="2"/>
  <c r="L12" i="2"/>
  <c r="L13" i="2"/>
  <c r="L7" i="2"/>
  <c r="I3" i="2"/>
  <c r="I4" i="2"/>
  <c r="I5" i="2"/>
  <c r="I6" i="2"/>
  <c r="I7" i="2"/>
  <c r="I8" i="2"/>
  <c r="I9" i="2"/>
  <c r="I10" i="2"/>
  <c r="I11" i="2"/>
  <c r="I12" i="2"/>
  <c r="I13" i="2"/>
  <c r="I2" i="2"/>
  <c r="G13" i="2" l="1"/>
  <c r="Z3" i="2" l="1"/>
  <c r="Z4" i="2"/>
  <c r="Z9" i="2"/>
  <c r="Z10" i="2"/>
  <c r="Z11" i="2"/>
  <c r="Z12" i="2"/>
  <c r="AA3" i="2"/>
  <c r="AA4" i="2"/>
  <c r="AA5" i="2"/>
  <c r="AA6" i="2"/>
  <c r="AA7" i="2"/>
  <c r="AA8" i="2"/>
  <c r="AA9" i="2"/>
  <c r="AA10" i="2"/>
  <c r="AA11" i="2"/>
  <c r="AA12" i="2"/>
  <c r="W3" i="2"/>
  <c r="W4" i="2"/>
  <c r="W5" i="2"/>
  <c r="W6" i="2"/>
  <c r="W7" i="2"/>
  <c r="W8" i="2"/>
  <c r="W9" i="2"/>
  <c r="W10" i="2"/>
  <c r="W11" i="2"/>
  <c r="W12" i="2"/>
  <c r="X4" i="2"/>
  <c r="X5" i="2"/>
  <c r="X6" i="2"/>
  <c r="X7" i="2"/>
  <c r="X8" i="2"/>
  <c r="X9" i="2"/>
  <c r="X10" i="2"/>
  <c r="X11" i="2"/>
  <c r="X12" i="2"/>
  <c r="X3" i="2"/>
  <c r="N11" i="2"/>
  <c r="P11" i="2"/>
  <c r="S11" i="2"/>
  <c r="G12" i="2"/>
  <c r="Z5" i="2"/>
  <c r="Z7" i="2"/>
  <c r="Z8" i="2"/>
  <c r="Z6" i="2"/>
  <c r="V3" i="2"/>
  <c r="V4" i="2"/>
  <c r="V5" i="2"/>
  <c r="V6" i="2"/>
  <c r="V7" i="2"/>
  <c r="V8" i="2"/>
  <c r="V9" i="2"/>
  <c r="V10" i="2"/>
  <c r="V11" i="2"/>
  <c r="V12" i="2"/>
  <c r="P3" i="2"/>
  <c r="P4" i="2"/>
  <c r="P5" i="2"/>
  <c r="P6" i="2"/>
  <c r="P7" i="2"/>
  <c r="P8" i="2"/>
  <c r="P9" i="2"/>
  <c r="P10" i="2"/>
  <c r="G2" i="2"/>
  <c r="G3" i="2"/>
  <c r="G4" i="2"/>
  <c r="G5" i="2"/>
  <c r="G6" i="2"/>
  <c r="G7" i="2"/>
  <c r="G8" i="2"/>
  <c r="G9" i="2"/>
  <c r="G10" i="2"/>
  <c r="G11" i="2"/>
  <c r="Q10" i="2"/>
  <c r="N10" i="2"/>
  <c r="Q9" i="2"/>
  <c r="N9" i="2"/>
  <c r="Q8" i="2"/>
  <c r="N8" i="2"/>
  <c r="Q7" i="2"/>
  <c r="N7" i="2"/>
  <c r="Q6" i="2"/>
  <c r="N6" i="2"/>
  <c r="Q5" i="2"/>
  <c r="N5" i="2"/>
  <c r="Q4" i="2"/>
  <c r="N4" i="2"/>
  <c r="Q3" i="2"/>
  <c r="S3" i="2" s="1"/>
  <c r="N3" i="2"/>
  <c r="Q2" i="2"/>
  <c r="N2" i="2"/>
  <c r="AC3" i="2" l="1"/>
  <c r="AB3" i="2"/>
  <c r="AC12" i="2"/>
  <c r="Y6" i="2"/>
  <c r="AC4" i="2"/>
  <c r="S6" i="2"/>
  <c r="AC7" i="2" s="1"/>
  <c r="S4" i="2"/>
  <c r="Y7" i="2"/>
  <c r="Y5" i="2"/>
  <c r="Y9" i="2"/>
  <c r="AC11" i="2"/>
  <c r="AC9" i="2"/>
  <c r="Y12" i="2"/>
  <c r="Y4" i="2"/>
  <c r="AB4" i="2"/>
  <c r="AB9" i="2"/>
  <c r="S7" i="2"/>
  <c r="AC8" i="2" s="1"/>
  <c r="AB11" i="2"/>
  <c r="S5" i="2"/>
  <c r="S8" i="2"/>
  <c r="S2" i="2"/>
  <c r="S9" i="2"/>
  <c r="AC10" i="2" s="1"/>
  <c r="Y8" i="2"/>
  <c r="Y10" i="2"/>
  <c r="S10" i="2"/>
  <c r="Y3" i="2"/>
  <c r="Y11" i="2"/>
  <c r="AB12" i="2" l="1"/>
  <c r="AC5" i="2"/>
  <c r="AB7" i="2"/>
  <c r="AB10" i="2"/>
  <c r="AB5" i="2"/>
  <c r="AB8" i="2"/>
  <c r="AC6" i="2" l="1"/>
  <c r="AB6" i="2"/>
</calcChain>
</file>

<file path=xl/sharedStrings.xml><?xml version="1.0" encoding="utf-8"?>
<sst xmlns="http://schemas.openxmlformats.org/spreadsheetml/2006/main" count="150" uniqueCount="79">
  <si>
    <t>names</t>
  </si>
  <si>
    <t>emails</t>
  </si>
  <si>
    <t>phone</t>
  </si>
  <si>
    <t>date of birth</t>
  </si>
  <si>
    <t>gender</t>
  </si>
  <si>
    <t>password</t>
  </si>
  <si>
    <t>address</t>
  </si>
  <si>
    <t>image_url</t>
  </si>
  <si>
    <t>enter full name</t>
  </si>
  <si>
    <t xml:space="preserve"> enter email</t>
  </si>
  <si>
    <t>enter phone</t>
  </si>
  <si>
    <t>DOB dd/mm/yyyy</t>
  </si>
  <si>
    <t>enter password</t>
  </si>
  <si>
    <t>enter address</t>
  </si>
  <si>
    <t>njei</t>
  </si>
  <si>
    <t>nico</t>
  </si>
  <si>
    <t>34u84</t>
  </si>
  <si>
    <t>43ygrbjsdkbjkds</t>
  </si>
  <si>
    <t>nicodemus</t>
  </si>
  <si>
    <t>21/04/2000</t>
  </si>
  <si>
    <t>nicoo</t>
  </si>
  <si>
    <t>21/04/2001</t>
  </si>
  <si>
    <t>newpass</t>
  </si>
  <si>
    <t>my home at ntarinkon</t>
  </si>
  <si>
    <t>StockID</t>
  </si>
  <si>
    <t>stockName</t>
  </si>
  <si>
    <t>CostPrice</t>
  </si>
  <si>
    <t>SellingPrice</t>
  </si>
  <si>
    <t>AB001</t>
  </si>
  <si>
    <t>AB002</t>
  </si>
  <si>
    <t>AB003</t>
  </si>
  <si>
    <t>AB004</t>
  </si>
  <si>
    <t>AB005</t>
  </si>
  <si>
    <t>AB006</t>
  </si>
  <si>
    <t>AB007</t>
  </si>
  <si>
    <t>AB008</t>
  </si>
  <si>
    <t>AB009</t>
  </si>
  <si>
    <t>AB010</t>
  </si>
  <si>
    <t>Date</t>
  </si>
  <si>
    <t xml:space="preserve"> Name</t>
  </si>
  <si>
    <t>Quantity</t>
  </si>
  <si>
    <t>UnitCostPrice</t>
  </si>
  <si>
    <t>Total</t>
  </si>
  <si>
    <t>Amount</t>
  </si>
  <si>
    <t>StockName</t>
  </si>
  <si>
    <t>Purchases</t>
  </si>
  <si>
    <t>Sales</t>
  </si>
  <si>
    <t>Balance</t>
  </si>
  <si>
    <t>Purchases2</t>
  </si>
  <si>
    <t>Sales2</t>
  </si>
  <si>
    <t>Profit</t>
  </si>
  <si>
    <t>Losses</t>
  </si>
  <si>
    <t>UnitSalePrice</t>
  </si>
  <si>
    <t>routers</t>
  </si>
  <si>
    <t>excelworkpart.xlsm</t>
  </si>
  <si>
    <t>hp laptops</t>
  </si>
  <si>
    <t>fujutsu</t>
  </si>
  <si>
    <t>switches</t>
  </si>
  <si>
    <t>battery</t>
  </si>
  <si>
    <t>mouse</t>
  </si>
  <si>
    <t>cables</t>
  </si>
  <si>
    <t>ram</t>
  </si>
  <si>
    <t>harddisk</t>
  </si>
  <si>
    <t>cpu</t>
  </si>
  <si>
    <t>sales</t>
  </si>
  <si>
    <t>balance</t>
  </si>
  <si>
    <t>username</t>
  </si>
  <si>
    <t>validation</t>
  </si>
  <si>
    <t>final validation</t>
  </si>
  <si>
    <t>nic123</t>
  </si>
  <si>
    <t>13/21/2000</t>
  </si>
  <si>
    <t>pavade</t>
  </si>
  <si>
    <t>ntarinkon</t>
  </si>
  <si>
    <t>a</t>
  </si>
  <si>
    <t>adss</t>
  </si>
  <si>
    <t>bda</t>
  </si>
  <si>
    <t>q</t>
  </si>
  <si>
    <t>gb</t>
  </si>
  <si>
    <t>ballery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</si>
</sst>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11"/>
      <color theme="1"/>
      <name val="Comic Sans MS"/>
    </font>
    <font>
      <b/>
      <sz val="11"/>
      <color theme="1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22" fontId="1" fillId="2" borderId="0" xfId="0" applyNumberFormat="1" applyFont="1" applyFill="1"/>
    <xf numFmtId="22" fontId="1" fillId="0" borderId="0" xfId="0" applyNumberFormat="1" applyFont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22" fontId="0" fillId="0" borderId="0" xfId="0" applyNumberFormat="1"/>
    <xf numFmtId="0" fontId="3" fillId="0" borderId="1" xfId="0" applyFont="1" applyBorder="1"/>
    <xf numFmtId="22" fontId="2" fillId="0" borderId="0" xfId="0" applyNumberFormat="1" applyFont="1"/>
    <xf numFmtId="0" fontId="2" fillId="2" borderId="0" xfId="0" applyFont="1" applyFill="1"/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  <numFmt numFmtId="27" formatCode="m/d/yyyy\ h:mm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jein/Documents/EXCEL/stockManagement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stockManagementSystem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id="1" name="Table22" displayName="Table22" ref="A1:H6" totalsRowShown="0" headerRowDxfId="51" dataDxfId="50">
  <autoFilter ref="A1:H6"/>
  <tableColumns count="8">
    <tableColumn id="1" name="names" dataDxfId="49"/>
    <tableColumn id="2" name="emails" dataDxfId="48"/>
    <tableColumn id="3" name="phone" dataDxfId="47"/>
    <tableColumn id="4" name="date of birth" dataDxfId="46"/>
    <tableColumn id="5" name="gender" dataDxfId="45"/>
    <tableColumn id="6" name="password" dataDxfId="44"/>
    <tableColumn id="7" name="address" dataDxfId="43"/>
    <tableColumn id="8" name="image_url" dataDxfId="4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Table1" displayName="Table1" ref="B1:E12" totalsRowShown="0" headerRowDxfId="41" dataDxfId="40">
  <autoFilter ref="B1:E12"/>
  <tableColumns count="4">
    <tableColumn id="1" name="StockID" dataDxfId="39"/>
    <tableColumn id="2" name="stockName" dataDxfId="38"/>
    <tableColumn id="3" name="CostPrice" dataDxfId="37"/>
    <tableColumn id="4" name="SellingPrice" dataDxfId="3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4" name="Table6" displayName="Table6" ref="U2:AC12" totalsRowShown="0" headerRowDxfId="35" dataDxfId="33" headerRowBorderDxfId="34">
  <autoFilter ref="U2:AC12"/>
  <tableColumns count="9">
    <tableColumn id="1" name="StockID" dataDxfId="32"/>
    <tableColumn id="2" name="StockName" dataDxfId="31">
      <calculatedColumnFormula>INDEX(Table1[stockName], MATCH(Table6[[#This Row],[StockID]],Table1[StockID],0))</calculatedColumnFormula>
    </tableColumn>
    <tableColumn id="3" name="Purchases" dataDxfId="30">
      <calculatedColumnFormula>SUMIF(Table7[StockID],Table6[StockID],Table7[Quantity])</calculatedColumnFormula>
    </tableColumn>
    <tableColumn id="4" name="Sales" dataDxfId="29">
      <calculatedColumnFormula>SUMIF(Table24[StockID],Table6[StockID],Table24[Quantity])</calculatedColumnFormula>
    </tableColumn>
    <tableColumn id="5" name="Balance" dataDxfId="28">
      <calculatedColumnFormula>(Table6[[#This Row],[Purchases]]-Table6[[#This Row],[Sales]])</calculatedColumnFormula>
    </tableColumn>
    <tableColumn id="6" name="Purchases2" dataDxfId="27">
      <calculatedColumnFormula>SUMIF(Table7[StockID],Table6[StockID],Table7[Total])</calculatedColumnFormula>
    </tableColumn>
    <tableColumn id="7" name="Sales2" dataDxfId="26">
      <calculatedColumnFormula>SUMIF(Table24[StockID],Table6[StockID],Table24[Total])</calculatedColumnFormula>
    </tableColumn>
    <tableColumn id="8" name="Profit" dataDxfId="25">
      <calculatedColumnFormula>(Table6[[#This Row],[Sales2]]-Table6[[#This Row],[Purchases2]])</calculatedColumnFormula>
    </tableColumn>
    <tableColumn id="9" name="Losses" dataDxfId="24">
      <calculatedColumnFormula>(Table6[[#This Row],[Purchases2]]-Table6[[#This Row],[Sales2]])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" name="Table24" displayName="Table24" ref="N1:S11" totalsRowShown="0">
  <autoFilter ref="N1:S11"/>
  <tableColumns count="6">
    <tableColumn id="1" name="Date" dataDxfId="23">
      <calculatedColumnFormula>NOW()</calculatedColumnFormula>
    </tableColumn>
    <tableColumn id="2" name="StockID"/>
    <tableColumn id="3" name=" Name" dataDxfId="22">
      <calculatedColumnFormula>INDEX(Table1[stockName], MATCH(Table24[[#This Row],[StockID]],Table1[StockID],0))</calculatedColumnFormula>
    </tableColumn>
    <tableColumn id="4" name="Quantity" dataDxfId="21">
      <calculatedColumnFormula xml:space="preserve"> INDEX([1]!Table2[Quantity], MATCH(Table24[[#This Row],[StockID]],[1]!Table2[StockID],0))</calculatedColumnFormula>
    </tableColumn>
    <tableColumn id="5" name="UnitSalePrice" dataDxfId="20">
      <calculatedColumnFormula>INDEX([1]!Table1[SellingPrice], MATCH(Table24[[#This Row],[StockID]],[1]!Table1[StockID],0))</calculatedColumnFormula>
    </tableColumn>
    <tableColumn id="6" name="Total" dataDxfId="19">
      <calculatedColumnFormula>PRODUCT(Table24[[#This Row],[Quantity]],Table24[[#This Row],[UnitSalePrice]])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Table7" displayName="Table7" ref="G1:L16" totalsRowShown="0" headerRowDxfId="18" dataDxfId="16" headerRowBorderDxfId="17" tableBorderDxfId="15">
  <autoFilter ref="G1:L16"/>
  <tableColumns count="6">
    <tableColumn id="1" name="Date" dataDxfId="14">
      <calculatedColumnFormula>NOW()</calculatedColumnFormula>
    </tableColumn>
    <tableColumn id="2" name="StockID" dataDxfId="13"/>
    <tableColumn id="3" name=" Name" dataDxfId="12">
      <calculatedColumnFormula>INDEX(Table1[stockName], MATCH(H2,Table1[StockID],0))</calculatedColumnFormula>
    </tableColumn>
    <tableColumn id="4" name="Quantity" dataDxfId="11"/>
    <tableColumn id="5" name="UnitCostPrice" dataDxfId="10">
      <calculatedColumnFormula>INDEX([1]!Table1[CostPrice], MATCH([1]!Table2[[#This Row],[StockID]],[1]!Table1[StockID],0))</calculatedColumnFormula>
    </tableColumn>
    <tableColumn id="6" name="Total" dataDxfId="9">
      <calculatedColumnFormula>PRODUCT(Table7[[#This Row],[Quantity]],Table7[[#This Row],[UnitCostPrice]])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G6" totalsRowShown="0" headerRowDxfId="8" dataDxfId="7">
  <autoFilter ref="A1:G6"/>
  <tableColumns count="7">
    <tableColumn id="1" name="names" dataDxfId="6"/>
    <tableColumn id="2" name="emails" dataDxfId="5"/>
    <tableColumn id="3" name="phone" dataDxfId="4"/>
    <tableColumn id="4" name="date of birth" dataDxfId="3"/>
    <tableColumn id="5" name="gender" dataDxfId="2"/>
    <tableColumn id="6" name="password" dataDxfId="1"/>
    <tableColumn id="7" name="addres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topLeftCell="A2" workbookViewId="0">
      <selection activeCell="I2" sqref="I1:I1048576"/>
    </sheetView>
  </sheetViews>
  <sheetFormatPr defaultRowHeight="14.4" x14ac:dyDescent="0.3"/>
  <sheetData>
    <row r="1" spans="1:13" ht="15.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3" ht="15.6" x14ac:dyDescent="0.35">
      <c r="A2" s="1"/>
      <c r="B2" s="1"/>
      <c r="C2" s="1"/>
      <c r="D2" s="1"/>
      <c r="E2" s="1"/>
      <c r="F2" s="1"/>
      <c r="G2" s="1"/>
      <c r="H2" s="1"/>
      <c r="M2" t="s">
        <v>67</v>
      </c>
    </row>
    <row r="3" spans="1:13" ht="15.6" x14ac:dyDescent="0.35">
      <c r="A3" s="2" t="s">
        <v>8</v>
      </c>
      <c r="B3" s="2" t="s">
        <v>9</v>
      </c>
      <c r="C3" s="2" t="s">
        <v>10</v>
      </c>
      <c r="D3" s="2" t="s">
        <v>11</v>
      </c>
      <c r="E3" s="2"/>
      <c r="F3" s="2"/>
      <c r="G3" s="2" t="s">
        <v>12</v>
      </c>
      <c r="H3" s="2" t="s">
        <v>13</v>
      </c>
      <c r="K3" t="s">
        <v>66</v>
      </c>
      <c r="L3" t="s">
        <v>14</v>
      </c>
    </row>
    <row r="4" spans="1:13" ht="15.6" x14ac:dyDescent="0.35">
      <c r="A4" s="2" t="s">
        <v>14</v>
      </c>
      <c r="B4" s="2" t="s">
        <v>15</v>
      </c>
      <c r="C4" s="2">
        <v>94873483</v>
      </c>
      <c r="D4" s="2" t="s">
        <v>16</v>
      </c>
      <c r="E4" s="2"/>
      <c r="F4" s="2" t="s">
        <v>15</v>
      </c>
      <c r="G4" s="2" t="s">
        <v>17</v>
      </c>
      <c r="H4" s="2" t="s">
        <v>13</v>
      </c>
      <c r="K4" t="s">
        <v>5</v>
      </c>
      <c r="L4" t="s">
        <v>15</v>
      </c>
    </row>
    <row r="5" spans="1:13" ht="15.6" x14ac:dyDescent="0.35">
      <c r="A5" s="2" t="s">
        <v>15</v>
      </c>
      <c r="B5" s="2" t="s">
        <v>69</v>
      </c>
      <c r="C5" s="2">
        <v>456789322</v>
      </c>
      <c r="D5" s="2" t="s">
        <v>70</v>
      </c>
      <c r="E5" s="2"/>
      <c r="F5" s="2" t="s">
        <v>71</v>
      </c>
      <c r="G5" s="2" t="s">
        <v>72</v>
      </c>
      <c r="H5" s="2"/>
    </row>
    <row r="6" spans="1:13" ht="15.6" x14ac:dyDescent="0.35">
      <c r="A6" s="2" t="s">
        <v>73</v>
      </c>
      <c r="B6" s="2" t="s">
        <v>74</v>
      </c>
      <c r="C6" s="2">
        <v>6398654</v>
      </c>
      <c r="D6" s="2">
        <v>4217634</v>
      </c>
      <c r="E6" s="2"/>
      <c r="F6" s="2">
        <v>123</v>
      </c>
      <c r="G6" s="2" t="s">
        <v>75</v>
      </c>
      <c r="H6" s="2"/>
    </row>
    <row r="7" spans="1:13" x14ac:dyDescent="0.3">
      <c r="K7" t="s">
        <v>66</v>
      </c>
      <c r="L7" t="str">
        <f>IFERROR(INDEX(Table22[names], MATCH(L3,Table22[names],0)),"FALSE")</f>
        <v>njei</v>
      </c>
      <c r="M7" t="str">
        <f>IF(L7&lt;&gt; "FALSE","1","0")</f>
        <v>1</v>
      </c>
    </row>
    <row r="8" spans="1:13" x14ac:dyDescent="0.3">
      <c r="K8" t="s">
        <v>5</v>
      </c>
      <c r="L8" t="str">
        <f>IFERROR(INDEX(Table22[names], MATCH(L4,Table22[password],0)), "FALSE")</f>
        <v>njei</v>
      </c>
      <c r="M8" t="str">
        <f>IF(L8&lt;&gt;"false", "1", "0")</f>
        <v>1</v>
      </c>
    </row>
    <row r="9" spans="1:13" x14ac:dyDescent="0.3">
      <c r="K9" t="s">
        <v>68</v>
      </c>
      <c r="M9">
        <f>M7+M8</f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C18"/>
  <sheetViews>
    <sheetView topLeftCell="L1" workbookViewId="0">
      <selection activeCell="AD9" sqref="AD9"/>
    </sheetView>
  </sheetViews>
  <sheetFormatPr defaultRowHeight="14.4" x14ac:dyDescent="0.3"/>
  <cols>
    <col min="5" max="5" width="9.77734375" bestFit="1" customWidth="1"/>
    <col min="6" max="6" width="4.21875" customWidth="1"/>
    <col min="7" max="7" width="24.33203125" customWidth="1"/>
    <col min="8" max="8" width="9.109375" customWidth="1"/>
    <col min="9" max="9" width="27.109375" customWidth="1"/>
    <col min="10" max="10" width="10.77734375" customWidth="1"/>
    <col min="11" max="11" width="20" customWidth="1"/>
    <col min="12" max="12" width="11.21875" customWidth="1"/>
    <col min="13" max="13" width="15.6640625" customWidth="1"/>
    <col min="14" max="14" width="18.5546875" customWidth="1"/>
    <col min="17" max="17" width="8.88671875" customWidth="1"/>
    <col min="18" max="18" width="9.6640625" customWidth="1"/>
    <col min="19" max="19" width="17.5546875" customWidth="1"/>
  </cols>
  <sheetData>
    <row r="1" spans="2:29" ht="16.2" x14ac:dyDescent="0.4">
      <c r="B1" s="1" t="s">
        <v>24</v>
      </c>
      <c r="C1" s="1" t="s">
        <v>25</v>
      </c>
      <c r="D1" s="1" t="s">
        <v>26</v>
      </c>
      <c r="E1" s="1" t="s">
        <v>27</v>
      </c>
      <c r="G1" s="12" t="s">
        <v>38</v>
      </c>
      <c r="H1" s="12" t="s">
        <v>24</v>
      </c>
      <c r="I1" s="12" t="s">
        <v>39</v>
      </c>
      <c r="J1" s="12" t="s">
        <v>40</v>
      </c>
      <c r="K1" s="12" t="s">
        <v>41</v>
      </c>
      <c r="L1" s="12" t="s">
        <v>42</v>
      </c>
      <c r="M1" t="s">
        <v>64</v>
      </c>
      <c r="N1" t="s">
        <v>38</v>
      </c>
      <c r="O1" t="s">
        <v>24</v>
      </c>
      <c r="P1" t="s">
        <v>39</v>
      </c>
      <c r="Q1" t="s">
        <v>40</v>
      </c>
      <c r="R1" t="s">
        <v>52</v>
      </c>
      <c r="S1" t="s">
        <v>42</v>
      </c>
      <c r="T1" t="s">
        <v>65</v>
      </c>
      <c r="U1" s="16"/>
      <c r="V1" s="17"/>
      <c r="W1" s="18" t="s">
        <v>40</v>
      </c>
      <c r="X1" s="18"/>
      <c r="Y1" s="18"/>
      <c r="Z1" s="18" t="s">
        <v>43</v>
      </c>
      <c r="AA1" s="18"/>
      <c r="AB1" s="18"/>
      <c r="AC1" s="19"/>
    </row>
    <row r="2" spans="2:29" ht="15.6" x14ac:dyDescent="0.35">
      <c r="B2" s="1" t="s">
        <v>28</v>
      </c>
      <c r="C2" s="1" t="s">
        <v>55</v>
      </c>
      <c r="D2" s="1">
        <v>1000</v>
      </c>
      <c r="E2" s="1">
        <v>2000</v>
      </c>
      <c r="G2" s="4">
        <f t="shared" ref="G2:G10" ca="1" si="0">NOW()</f>
        <v>44429.796959722225</v>
      </c>
      <c r="H2" s="3" t="s">
        <v>31</v>
      </c>
      <c r="I2" s="3" t="str">
        <f>INDEX(Table1[stockName], MATCH(H2,Table1[StockID],0))</f>
        <v>routers</v>
      </c>
      <c r="J2" s="3">
        <v>1</v>
      </c>
      <c r="K2" s="3">
        <v>300</v>
      </c>
      <c r="L2" s="3">
        <f>PRODUCT(Table7[[#This Row],[Quantity]],Table7[[#This Row],[UnitCostPrice]])</f>
        <v>300</v>
      </c>
      <c r="N2" s="11">
        <f t="shared" ref="N2:N10" ca="1" si="1">NOW()</f>
        <v>44429.796959722225</v>
      </c>
      <c r="O2" t="s">
        <v>31</v>
      </c>
      <c r="P2" t="str">
        <f>INDEX(Table1[stockName], MATCH(Table24[[#This Row],[StockID]],Table1[StockID],0))</f>
        <v>routers</v>
      </c>
      <c r="Q2">
        <f xml:space="preserve"> INDEX([1]!Table2[Quantity], MATCH(Table24[[#This Row],[StockID]],[1]!Table2[StockID],0))</f>
        <v>1</v>
      </c>
      <c r="R2">
        <v>200</v>
      </c>
      <c r="S2">
        <f>PRODUCT(Table24[[#This Row],[Quantity]],Table24[[#This Row],[UnitSalePrice]])</f>
        <v>200</v>
      </c>
      <c r="U2" s="6" t="s">
        <v>24</v>
      </c>
      <c r="V2" s="7" t="s">
        <v>44</v>
      </c>
      <c r="W2" s="7" t="s">
        <v>45</v>
      </c>
      <c r="X2" s="7" t="s">
        <v>46</v>
      </c>
      <c r="Y2" s="7" t="s">
        <v>47</v>
      </c>
      <c r="Z2" s="7" t="s">
        <v>48</v>
      </c>
      <c r="AA2" s="7" t="s">
        <v>49</v>
      </c>
      <c r="AB2" s="7" t="s">
        <v>50</v>
      </c>
      <c r="AC2" s="8" t="s">
        <v>51</v>
      </c>
    </row>
    <row r="3" spans="2:29" ht="15.6" x14ac:dyDescent="0.35">
      <c r="B3" s="1" t="s">
        <v>29</v>
      </c>
      <c r="C3" s="1" t="s">
        <v>56</v>
      </c>
      <c r="D3" s="1">
        <v>6500</v>
      </c>
      <c r="E3" s="1">
        <v>8000</v>
      </c>
      <c r="G3" s="5">
        <f t="shared" ca="1" si="0"/>
        <v>44429.796959722225</v>
      </c>
      <c r="H3" s="1" t="s">
        <v>30</v>
      </c>
      <c r="I3" s="3" t="str">
        <f>INDEX(Table1[stockName], MATCH(H3,Table1[StockID],0))</f>
        <v>switches</v>
      </c>
      <c r="J3" s="1">
        <v>1</v>
      </c>
      <c r="K3" s="3">
        <v>600</v>
      </c>
      <c r="L3" s="3">
        <f>PRODUCT(Table7[[#This Row],[Quantity]],Table7[[#This Row],[UnitCostPrice]])</f>
        <v>600</v>
      </c>
      <c r="N3" s="11">
        <f t="shared" ca="1" si="1"/>
        <v>44429.796959722225</v>
      </c>
      <c r="O3" t="s">
        <v>30</v>
      </c>
      <c r="P3" t="str">
        <f>INDEX(Table1[stockName], MATCH(Table24[[#This Row],[StockID]],Table1[StockID],0))</f>
        <v>switches</v>
      </c>
      <c r="Q3">
        <f xml:space="preserve"> INDEX([1]!Table2[Quantity], MATCH(Table24[[#This Row],[StockID]],[1]!Table2[StockID],0))</f>
        <v>2</v>
      </c>
      <c r="R3">
        <v>300</v>
      </c>
      <c r="S3">
        <f>PRODUCT(Table24[[#This Row],[Quantity]],Table24[[#This Row],[UnitSalePrice]])</f>
        <v>600</v>
      </c>
      <c r="U3" s="6" t="s">
        <v>28</v>
      </c>
      <c r="V3" s="7" t="str">
        <f>INDEX(Table1[stockName], MATCH(Table6[[#This Row],[StockID]],Table1[StockID],0))</f>
        <v>hp laptops</v>
      </c>
      <c r="W3" s="7">
        <f>SUMIF(Table7[StockID],Table6[StockID],Table7[Quantity])</f>
        <v>4</v>
      </c>
      <c r="X3" s="7">
        <f>SUMIF(Table24[StockID],Table6[StockID],Table24[Quantity])</f>
        <v>0</v>
      </c>
      <c r="Y3" s="7">
        <f>(Table6[[#This Row],[Purchases]]-Table6[[#This Row],[Sales]])</f>
        <v>4</v>
      </c>
      <c r="Z3" s="7">
        <f>SUMIF(Table7[StockID],Table6[StockID],Table7[Total])</f>
        <v>2400</v>
      </c>
      <c r="AA3" s="7">
        <f>SUMIF(Table24[StockID],Table6[StockID],Table24[Total])</f>
        <v>0</v>
      </c>
      <c r="AB3" s="7">
        <f>(Table6[[#This Row],[Sales2]]-Table6[[#This Row],[Purchases2]])</f>
        <v>-2400</v>
      </c>
      <c r="AC3" s="8">
        <f>(Table6[[#This Row],[Purchases2]]-Table6[[#This Row],[Sales2]])</f>
        <v>2400</v>
      </c>
    </row>
    <row r="4" spans="2:29" ht="15.6" x14ac:dyDescent="0.35">
      <c r="B4" s="1" t="s">
        <v>30</v>
      </c>
      <c r="C4" s="1" t="s">
        <v>57</v>
      </c>
      <c r="D4" s="1">
        <v>1000</v>
      </c>
      <c r="E4" s="1">
        <v>2000</v>
      </c>
      <c r="G4" s="4">
        <f t="shared" ca="1" si="0"/>
        <v>44429.796959722225</v>
      </c>
      <c r="H4" s="3" t="s">
        <v>37</v>
      </c>
      <c r="I4" s="3" t="str">
        <f>INDEX(Table1[stockName], MATCH(H4,Table1[StockID],0))</f>
        <v>cpu</v>
      </c>
      <c r="J4" s="3">
        <v>3</v>
      </c>
      <c r="K4" s="3">
        <v>400</v>
      </c>
      <c r="L4" s="3">
        <f>PRODUCT(Table7[[#This Row],[Quantity]],Table7[[#This Row],[UnitCostPrice]])</f>
        <v>1200</v>
      </c>
      <c r="N4" s="11">
        <f t="shared" ca="1" si="1"/>
        <v>44429.796959722225</v>
      </c>
      <c r="O4" t="s">
        <v>30</v>
      </c>
      <c r="P4" t="str">
        <f>INDEX(Table1[stockName], MATCH(Table24[[#This Row],[StockID]],Table1[StockID],0))</f>
        <v>switches</v>
      </c>
      <c r="Q4">
        <f xml:space="preserve"> INDEX([1]!Table2[Quantity], MATCH(Table24[[#This Row],[StockID]],[1]!Table2[StockID],0))</f>
        <v>2</v>
      </c>
      <c r="R4">
        <v>400</v>
      </c>
      <c r="S4">
        <f>PRODUCT(Table24[[#This Row],[Quantity]],Table24[[#This Row],[UnitSalePrice]])</f>
        <v>800</v>
      </c>
      <c r="U4" s="6" t="s">
        <v>29</v>
      </c>
      <c r="V4" s="7" t="str">
        <f>INDEX(Table1[stockName], MATCH(Table6[[#This Row],[StockID]],Table1[StockID],0))</f>
        <v>fujutsu</v>
      </c>
      <c r="W4" s="7">
        <f>SUMIF(Table7[StockID],Table6[StockID],Table7[Quantity])</f>
        <v>0</v>
      </c>
      <c r="X4" s="7">
        <f>SUMIF(Table24[StockID],Table6[StockID],Table24[Quantity])</f>
        <v>0</v>
      </c>
      <c r="Y4" s="7">
        <f>(Table6[[#This Row],[Purchases]]-Table6[[#This Row],[Sales]])</f>
        <v>0</v>
      </c>
      <c r="Z4" s="7">
        <f>SUMIF(Table7[StockID],Table6[StockID],Table7[Total])</f>
        <v>0</v>
      </c>
      <c r="AA4" s="7">
        <f>SUMIF(Table24[StockID],Table6[StockID],Table24[Total])</f>
        <v>0</v>
      </c>
      <c r="AB4" s="7">
        <f>(Table6[[#This Row],[Sales2]]-Table6[[#This Row],[Purchases2]])</f>
        <v>0</v>
      </c>
      <c r="AC4" s="8">
        <f>(Table6[[#This Row],[Purchases2]]-Table6[[#This Row],[Sales2]])</f>
        <v>0</v>
      </c>
    </row>
    <row r="5" spans="2:29" ht="15.6" x14ac:dyDescent="0.35">
      <c r="B5" s="1" t="s">
        <v>31</v>
      </c>
      <c r="C5" s="1" t="s">
        <v>53</v>
      </c>
      <c r="D5" s="1">
        <v>1500</v>
      </c>
      <c r="E5" s="1">
        <v>2500</v>
      </c>
      <c r="G5" s="5">
        <f t="shared" ca="1" si="0"/>
        <v>44429.796959722225</v>
      </c>
      <c r="H5" s="1" t="s">
        <v>32</v>
      </c>
      <c r="I5" s="3" t="str">
        <f>INDEX(Table1[stockName], MATCH(H5,Table1[StockID],0))</f>
        <v>battery</v>
      </c>
      <c r="J5" s="1">
        <v>4</v>
      </c>
      <c r="K5" s="3">
        <v>1000</v>
      </c>
      <c r="L5" s="3">
        <f>PRODUCT(Table7[[#This Row],[Quantity]],Table7[[#This Row],[UnitCostPrice]])</f>
        <v>4000</v>
      </c>
      <c r="N5" s="11">
        <f t="shared" ca="1" si="1"/>
        <v>44429.796959722225</v>
      </c>
      <c r="O5" t="s">
        <v>31</v>
      </c>
      <c r="P5" t="str">
        <f>INDEX(Table1[stockName], MATCH(Table24[[#This Row],[StockID]],Table1[StockID],0))</f>
        <v>routers</v>
      </c>
      <c r="Q5">
        <f xml:space="preserve"> INDEX([1]!Table2[Quantity], MATCH(Table24[[#This Row],[StockID]],[1]!Table2[StockID],0))</f>
        <v>1</v>
      </c>
      <c r="R5">
        <v>500</v>
      </c>
      <c r="S5">
        <f>PRODUCT(Table24[[#This Row],[Quantity]],Table24[[#This Row],[UnitSalePrice]])</f>
        <v>500</v>
      </c>
      <c r="U5" s="6" t="s">
        <v>30</v>
      </c>
      <c r="V5" s="7" t="str">
        <f>INDEX(Table1[stockName], MATCH(Table6[[#This Row],[StockID]],Table1[StockID],0))</f>
        <v>switches</v>
      </c>
      <c r="W5" s="7">
        <f>SUMIF(Table7[StockID],Table6[StockID],Table7[Quantity])</f>
        <v>5</v>
      </c>
      <c r="X5" s="7">
        <f>SUMIF(Table24[StockID],Table6[StockID],Table24[Quantity])</f>
        <v>7</v>
      </c>
      <c r="Y5" s="7">
        <f>(Table6[[#This Row],[Purchases]]-Table6[[#This Row],[Sales]])</f>
        <v>-2</v>
      </c>
      <c r="Z5" s="7">
        <f>SUMIF(Table7[StockID],Table6[StockID],Table7[Total])</f>
        <v>6200</v>
      </c>
      <c r="AA5" s="7">
        <f>SUMIF(Table24[StockID],Table6[StockID],Table24[Total])</f>
        <v>4400</v>
      </c>
      <c r="AB5" s="7">
        <f>(Table6[[#This Row],[Sales2]]-Table6[[#This Row],[Purchases2]])</f>
        <v>-1800</v>
      </c>
      <c r="AC5" s="8">
        <f>(Table6[[#This Row],[Purchases2]]-Table6[[#This Row],[Sales2]])</f>
        <v>1800</v>
      </c>
    </row>
    <row r="6" spans="2:29" ht="16.2" thickBot="1" x14ac:dyDescent="0.4">
      <c r="B6" s="1" t="s">
        <v>32</v>
      </c>
      <c r="C6" s="1" t="s">
        <v>58</v>
      </c>
      <c r="D6" s="1">
        <v>500</v>
      </c>
      <c r="E6" s="1">
        <v>800</v>
      </c>
      <c r="G6" s="4">
        <f t="shared" ca="1" si="0"/>
        <v>44429.796959722225</v>
      </c>
      <c r="H6" s="3" t="s">
        <v>32</v>
      </c>
      <c r="I6" s="3" t="str">
        <f>INDEX(Table1[stockName], MATCH(H6,Table1[StockID],0))</f>
        <v>battery</v>
      </c>
      <c r="J6" s="3">
        <v>5</v>
      </c>
      <c r="K6" s="3">
        <v>300</v>
      </c>
      <c r="L6" s="3">
        <f>PRODUCT(Table7[[#This Row],[Quantity]],Table7[[#This Row],[UnitCostPrice]])</f>
        <v>1500</v>
      </c>
      <c r="N6" s="11">
        <f t="shared" ca="1" si="1"/>
        <v>44429.796959722225</v>
      </c>
      <c r="O6" t="s">
        <v>32</v>
      </c>
      <c r="P6" t="str">
        <f>INDEX(Table1[stockName], MATCH(Table24[[#This Row],[StockID]],Table1[StockID],0))</f>
        <v>battery</v>
      </c>
      <c r="Q6">
        <f xml:space="preserve"> INDEX([1]!Table2[Quantity], MATCH(Table24[[#This Row],[StockID]],[1]!Table2[StockID],0))</f>
        <v>4</v>
      </c>
      <c r="R6">
        <v>600</v>
      </c>
      <c r="S6">
        <f>PRODUCT(Table24[[#This Row],[Quantity]],Table24[[#This Row],[UnitSalePrice]])</f>
        <v>2400</v>
      </c>
      <c r="U6" s="6" t="s">
        <v>31</v>
      </c>
      <c r="V6" s="9" t="str">
        <f>INDEX(Table1[stockName], MATCH(Table6[[#This Row],[StockID]],Table1[StockID],0))</f>
        <v>routers</v>
      </c>
      <c r="W6" s="7">
        <f>SUMIF(Table7[StockID],Table6[StockID],Table7[Quantity])</f>
        <v>8</v>
      </c>
      <c r="X6" s="7">
        <f>SUMIF(Table24[StockID],Table6[StockID],Table24[Quantity])</f>
        <v>4</v>
      </c>
      <c r="Y6" s="9">
        <f>(Table6[[#This Row],[Purchases]]-Table6[[#This Row],[Sales]])</f>
        <v>4</v>
      </c>
      <c r="Z6" s="9">
        <f>SUMIF(Table7[StockID],Table6[StockID],Table7[Total])</f>
        <v>70300</v>
      </c>
      <c r="AA6" s="7">
        <f>SUMIF(Table24[StockID],Table6[StockID],Table24[Total])</f>
        <v>2500</v>
      </c>
      <c r="AB6" s="9">
        <f>(Table6[[#This Row],[Sales2]]-Table6[[#This Row],[Purchases2]])</f>
        <v>-67800</v>
      </c>
      <c r="AC6" s="10">
        <f>(Table6[[#This Row],[Purchases2]]-Table6[[#This Row],[Sales2]])</f>
        <v>67800</v>
      </c>
    </row>
    <row r="7" spans="2:29" ht="16.2" thickBot="1" x14ac:dyDescent="0.4">
      <c r="B7" s="1" t="s">
        <v>33</v>
      </c>
      <c r="C7" s="1" t="s">
        <v>59</v>
      </c>
      <c r="D7" s="1">
        <v>2000</v>
      </c>
      <c r="E7" s="1">
        <v>2500</v>
      </c>
      <c r="G7" s="5">
        <f t="shared" ca="1" si="0"/>
        <v>44429.796959722225</v>
      </c>
      <c r="H7" s="1" t="s">
        <v>33</v>
      </c>
      <c r="I7" s="3" t="str">
        <f>INDEX(Table1[stockName], MATCH(H7,Table1[StockID],0))</f>
        <v>mouse</v>
      </c>
      <c r="J7" s="1">
        <v>6</v>
      </c>
      <c r="K7" s="3">
        <v>500</v>
      </c>
      <c r="L7" s="3">
        <f>PRODUCT(Table7[[#This Row],[Quantity]],Table7[[#This Row],[UnitCostPrice]])</f>
        <v>3000</v>
      </c>
      <c r="N7" s="11">
        <f t="shared" ca="1" si="1"/>
        <v>44429.796959722225</v>
      </c>
      <c r="O7" t="s">
        <v>33</v>
      </c>
      <c r="P7" t="str">
        <f>INDEX(Table1[stockName], MATCH(Table24[[#This Row],[StockID]],Table1[StockID],0))</f>
        <v>mouse</v>
      </c>
      <c r="Q7">
        <f xml:space="preserve"> INDEX([1]!Table2[Quantity], MATCH(Table24[[#This Row],[StockID]],[1]!Table2[StockID],0))</f>
        <v>6</v>
      </c>
      <c r="R7">
        <v>700</v>
      </c>
      <c r="S7">
        <f>PRODUCT(Table24[[#This Row],[Quantity]],Table24[[#This Row],[UnitSalePrice]])</f>
        <v>4200</v>
      </c>
      <c r="U7" s="6" t="s">
        <v>32</v>
      </c>
      <c r="V7" s="7" t="str">
        <f>INDEX(Table1[stockName], MATCH(Table6[[#This Row],[StockID]],Table1[StockID],0))</f>
        <v>battery</v>
      </c>
      <c r="W7" s="7">
        <f>SUMIF(Table7[StockID],Table6[StockID],Table7[Quantity])</f>
        <v>9</v>
      </c>
      <c r="X7" s="7">
        <f>SUMIF(Table24[StockID],Table6[StockID],Table24[Quantity])</f>
        <v>4</v>
      </c>
      <c r="Y7" s="7">
        <f>(Table6[[#This Row],[Purchases]]-Table6[[#This Row],[Sales]])</f>
        <v>5</v>
      </c>
      <c r="Z7" s="7">
        <f>SUMIF(Table7[StockID],Table6[StockID],Table7[Total])</f>
        <v>5500</v>
      </c>
      <c r="AA7" s="7">
        <f>SUMIF(Table24[StockID],Table6[StockID],Table24[Total])</f>
        <v>2400</v>
      </c>
      <c r="AB7" s="7">
        <f>(Table6[[#This Row],[Sales2]]-Table6[[#This Row],[Purchases2]])</f>
        <v>-3100</v>
      </c>
      <c r="AC7" s="10">
        <f>(Table6[[#This Row],[Purchases2]]-Table6[[#This Row],[Sales2]])</f>
        <v>3100</v>
      </c>
    </row>
    <row r="8" spans="2:29" ht="16.2" thickBot="1" x14ac:dyDescent="0.4">
      <c r="B8" s="1" t="s">
        <v>34</v>
      </c>
      <c r="C8" s="1" t="s">
        <v>60</v>
      </c>
      <c r="D8" s="1">
        <v>3000</v>
      </c>
      <c r="E8" s="1">
        <v>3000</v>
      </c>
      <c r="G8" s="4">
        <f t="shared" ca="1" si="0"/>
        <v>44429.796959722225</v>
      </c>
      <c r="H8" s="3" t="s">
        <v>31</v>
      </c>
      <c r="I8" s="3" t="str">
        <f>INDEX(Table1[stockName], MATCH(H8,Table1[StockID],0))</f>
        <v>routers</v>
      </c>
      <c r="J8" s="3">
        <v>7</v>
      </c>
      <c r="K8" s="3">
        <v>10000</v>
      </c>
      <c r="L8" s="3">
        <f>PRODUCT(Table7[[#This Row],[Quantity]],Table7[[#This Row],[UnitCostPrice]])</f>
        <v>70000</v>
      </c>
      <c r="N8" s="11">
        <f t="shared" ca="1" si="1"/>
        <v>44429.796959722225</v>
      </c>
      <c r="O8" t="s">
        <v>31</v>
      </c>
      <c r="P8" t="str">
        <f>INDEX(Table1[stockName], MATCH(Table24[[#This Row],[StockID]],Table1[StockID],0))</f>
        <v>routers</v>
      </c>
      <c r="Q8">
        <f xml:space="preserve"> INDEX([1]!Table2[Quantity], MATCH(Table24[[#This Row],[StockID]],[1]!Table2[StockID],0))</f>
        <v>1</v>
      </c>
      <c r="R8">
        <v>800</v>
      </c>
      <c r="S8">
        <f>PRODUCT(Table24[[#This Row],[Quantity]],Table24[[#This Row],[UnitSalePrice]])</f>
        <v>800</v>
      </c>
      <c r="U8" s="6" t="s">
        <v>33</v>
      </c>
      <c r="V8" s="7" t="str">
        <f>INDEX(Table1[stockName], MATCH(Table6[[#This Row],[StockID]],Table1[StockID],0))</f>
        <v>mouse</v>
      </c>
      <c r="W8" s="7">
        <f>SUMIF(Table7[StockID],Table6[StockID],Table7[Quantity])</f>
        <v>6</v>
      </c>
      <c r="X8" s="7">
        <f>SUMIF(Table24[StockID],Table6[StockID],Table24[Quantity])</f>
        <v>6</v>
      </c>
      <c r="Y8" s="7">
        <f>(Table6[[#This Row],[Purchases]]-Table6[[#This Row],[Sales]])</f>
        <v>0</v>
      </c>
      <c r="Z8" s="7">
        <f>SUMIF(Table7[StockID],Table6[StockID],Table7[Total])</f>
        <v>3000</v>
      </c>
      <c r="AA8" s="7">
        <f>SUMIF(Table24[StockID],Table6[StockID],Table24[Total])</f>
        <v>4200</v>
      </c>
      <c r="AB8" s="7">
        <f>(Table6[[#This Row],[Sales2]]-Table6[[#This Row],[Purchases2]])</f>
        <v>1200</v>
      </c>
      <c r="AC8" s="10">
        <f>(Table6[[#This Row],[Purchases2]]-Table6[[#This Row],[Sales2]])</f>
        <v>-1200</v>
      </c>
    </row>
    <row r="9" spans="2:29" ht="16.2" thickBot="1" x14ac:dyDescent="0.4">
      <c r="B9" s="1" t="s">
        <v>35</v>
      </c>
      <c r="C9" s="1" t="s">
        <v>61</v>
      </c>
      <c r="D9" s="1">
        <v>3500</v>
      </c>
      <c r="E9" s="1">
        <v>3500</v>
      </c>
      <c r="G9" s="5">
        <f t="shared" ca="1" si="0"/>
        <v>44429.796959722225</v>
      </c>
      <c r="H9" s="1" t="s">
        <v>35</v>
      </c>
      <c r="I9" s="3" t="str">
        <f>INDEX(Table1[stockName], MATCH(H9,Table1[StockID],0))</f>
        <v>ram</v>
      </c>
      <c r="J9" s="1">
        <v>8</v>
      </c>
      <c r="K9" s="3">
        <v>2000</v>
      </c>
      <c r="L9" s="3">
        <f>PRODUCT(Table7[[#This Row],[Quantity]],Table7[[#This Row],[UnitCostPrice]])</f>
        <v>16000</v>
      </c>
      <c r="N9" s="11">
        <f t="shared" ca="1" si="1"/>
        <v>44429.796959722225</v>
      </c>
      <c r="O9" t="s">
        <v>35</v>
      </c>
      <c r="P9" t="str">
        <f>INDEX(Table1[stockName], MATCH(Table24[[#This Row],[StockID]],Table1[StockID],0))</f>
        <v>ram</v>
      </c>
      <c r="Q9">
        <f xml:space="preserve"> INDEX([1]!Table2[Quantity], MATCH(Table24[[#This Row],[StockID]],[1]!Table2[StockID],0))</f>
        <v>8</v>
      </c>
      <c r="R9">
        <v>900</v>
      </c>
      <c r="S9">
        <f>PRODUCT(Table24[[#This Row],[Quantity]],Table24[[#This Row],[UnitSalePrice]])</f>
        <v>7200</v>
      </c>
      <c r="U9" s="6" t="s">
        <v>34</v>
      </c>
      <c r="V9" s="7" t="str">
        <f>INDEX(Table1[stockName], MATCH(Table6[[#This Row],[StockID]],Table1[StockID],0))</f>
        <v>cables</v>
      </c>
      <c r="W9" s="7">
        <f>SUMIF(Table7[StockID],Table6[StockID],Table7[Quantity])</f>
        <v>0</v>
      </c>
      <c r="X9" s="7">
        <f>SUMIF(Table24[StockID],Table6[StockID],Table24[Quantity])</f>
        <v>0</v>
      </c>
      <c r="Y9" s="7">
        <f>(Table6[[#This Row],[Purchases]]-Table6[[#This Row],[Sales]])</f>
        <v>0</v>
      </c>
      <c r="Z9" s="7">
        <f>SUMIF(Table7[StockID],Table6[StockID],Table7[Total])</f>
        <v>0</v>
      </c>
      <c r="AA9" s="7">
        <f>SUMIF(Table24[StockID],Table6[StockID],Table24[Total])</f>
        <v>0</v>
      </c>
      <c r="AB9" s="7">
        <f>(Table6[[#This Row],[Sales2]]-Table6[[#This Row],[Purchases2]])</f>
        <v>0</v>
      </c>
      <c r="AC9" s="10">
        <f>(Table6[[#This Row],[Purchases2]]-Table6[[#This Row],[Sales2]])</f>
        <v>0</v>
      </c>
    </row>
    <row r="10" spans="2:29" ht="16.2" thickBot="1" x14ac:dyDescent="0.4">
      <c r="B10" s="1" t="s">
        <v>36</v>
      </c>
      <c r="C10" s="1" t="s">
        <v>62</v>
      </c>
      <c r="D10" s="1">
        <v>4500</v>
      </c>
      <c r="E10" s="1">
        <v>4500</v>
      </c>
      <c r="G10" s="4">
        <f t="shared" ca="1" si="0"/>
        <v>44429.796959722225</v>
      </c>
      <c r="H10" s="3" t="s">
        <v>30</v>
      </c>
      <c r="I10" s="3" t="str">
        <f>INDEX(Table1[stockName], MATCH(H10,Table1[StockID],0))</f>
        <v>switches</v>
      </c>
      <c r="J10" s="3">
        <v>1</v>
      </c>
      <c r="K10" s="3">
        <v>5000</v>
      </c>
      <c r="L10" s="3">
        <f>PRODUCT(Table7[[#This Row],[Quantity]],Table7[[#This Row],[UnitCostPrice]])</f>
        <v>5000</v>
      </c>
      <c r="N10" s="11">
        <f t="shared" ca="1" si="1"/>
        <v>44429.796959722225</v>
      </c>
      <c r="O10" t="s">
        <v>31</v>
      </c>
      <c r="P10" t="str">
        <f>INDEX(Table1[stockName], MATCH(Table24[[#This Row],[StockID]],Table1[StockID],0))</f>
        <v>routers</v>
      </c>
      <c r="Q10">
        <f xml:space="preserve"> INDEX([1]!Table2[Quantity], MATCH(Table24[[#This Row],[StockID]],[1]!Table2[StockID],0))</f>
        <v>1</v>
      </c>
      <c r="R10">
        <v>1000</v>
      </c>
      <c r="S10">
        <f>PRODUCT(Table24[[#This Row],[Quantity]],Table24[[#This Row],[UnitSalePrice]])</f>
        <v>1000</v>
      </c>
      <c r="U10" s="6" t="s">
        <v>35</v>
      </c>
      <c r="V10" s="7" t="str">
        <f>INDEX(Table1[stockName], MATCH(Table6[[#This Row],[StockID]],Table1[StockID],0))</f>
        <v>ram</v>
      </c>
      <c r="W10" s="7">
        <f>SUMIF(Table7[StockID],Table6[StockID],Table7[Quantity])</f>
        <v>8</v>
      </c>
      <c r="X10" s="7">
        <f>SUMIF(Table24[StockID],Table6[StockID],Table24[Quantity])</f>
        <v>8</v>
      </c>
      <c r="Y10" s="7">
        <f>(Table6[[#This Row],[Purchases]]-Table6[[#This Row],[Sales]])</f>
        <v>0</v>
      </c>
      <c r="Z10" s="7">
        <f>SUMIF(Table7[StockID],Table6[StockID],Table7[Total])</f>
        <v>16000</v>
      </c>
      <c r="AA10" s="7">
        <f>SUMIF(Table24[StockID],Table6[StockID],Table24[Total])</f>
        <v>7200</v>
      </c>
      <c r="AB10" s="7">
        <f>(Table6[[#This Row],[Sales2]]-Table6[[#This Row],[Purchases2]])</f>
        <v>-8800</v>
      </c>
      <c r="AC10" s="10">
        <f>(Table6[[#This Row],[Purchases2]]-Table6[[#This Row],[Sales2]])</f>
        <v>8800</v>
      </c>
    </row>
    <row r="11" spans="2:29" ht="16.2" thickBot="1" x14ac:dyDescent="0.4">
      <c r="B11" s="1" t="s">
        <v>37</v>
      </c>
      <c r="C11" s="1" t="s">
        <v>63</v>
      </c>
      <c r="D11" s="1">
        <v>3000</v>
      </c>
      <c r="E11" s="1">
        <v>4000</v>
      </c>
      <c r="G11" s="5">
        <f ca="1">NOW()</f>
        <v>44429.796959722225</v>
      </c>
      <c r="H11" s="1" t="s">
        <v>37</v>
      </c>
      <c r="I11" s="3" t="str">
        <f>INDEX(Table1[stockName], MATCH(H11,Table1[StockID],0))</f>
        <v>cpu</v>
      </c>
      <c r="J11" s="1">
        <v>10</v>
      </c>
      <c r="K11" s="3">
        <v>20000</v>
      </c>
      <c r="L11" s="3">
        <f>PRODUCT(Table7[[#This Row],[Quantity]],Table7[[#This Row],[UnitCostPrice]])</f>
        <v>200000</v>
      </c>
      <c r="N11" s="11">
        <f ca="1">NOW()</f>
        <v>44429.796959722225</v>
      </c>
      <c r="O11" t="s">
        <v>30</v>
      </c>
      <c r="P11" s="15" t="str">
        <f>INDEX(Table1[stockName], MATCH(Table24[[#This Row],[StockID]],Table1[StockID],0))</f>
        <v>switches</v>
      </c>
      <c r="Q11" s="15">
        <v>3</v>
      </c>
      <c r="R11" s="15">
        <v>1000</v>
      </c>
      <c r="S11" s="15">
        <f>PRODUCT(Table24[[#This Row],[Quantity]],Table24[[#This Row],[UnitSalePrice]])</f>
        <v>3000</v>
      </c>
      <c r="U11" s="6" t="s">
        <v>36</v>
      </c>
      <c r="V11" s="7" t="str">
        <f>INDEX(Table1[stockName], MATCH(Table6[[#This Row],[StockID]],Table1[StockID],0))</f>
        <v>harddisk</v>
      </c>
      <c r="W11" s="7">
        <f>SUMIF(Table7[StockID],Table6[StockID],Table7[Quantity])</f>
        <v>0</v>
      </c>
      <c r="X11" s="7">
        <f>SUMIF(Table24[StockID],Table6[StockID],Table24[Quantity])</f>
        <v>0</v>
      </c>
      <c r="Y11" s="7">
        <f>(Table6[[#This Row],[Purchases]]-Table6[[#This Row],[Sales]])</f>
        <v>0</v>
      </c>
      <c r="Z11" s="7">
        <f>SUMIF(Table7[StockID],Table6[StockID],Table7[Total])</f>
        <v>0</v>
      </c>
      <c r="AA11" s="7">
        <f>SUMIF(Table24[StockID],Table6[StockID],Table24[Total])</f>
        <v>0</v>
      </c>
      <c r="AB11" s="7">
        <f>(Table6[[#This Row],[Sales2]]-Table6[[#This Row],[Purchases2]])</f>
        <v>0</v>
      </c>
      <c r="AC11" s="10">
        <f>(Table6[[#This Row],[Purchases2]]-Table6[[#This Row],[Sales2]])</f>
        <v>0</v>
      </c>
    </row>
    <row r="12" spans="2:29" ht="16.2" thickBot="1" x14ac:dyDescent="0.4">
      <c r="B12" s="2" t="s">
        <v>76</v>
      </c>
      <c r="C12" s="2" t="s">
        <v>77</v>
      </c>
      <c r="D12" s="2">
        <v>100</v>
      </c>
      <c r="E12" s="2">
        <v>200</v>
      </c>
      <c r="G12" s="13">
        <f ca="1">NOW()</f>
        <v>44429.796959722225</v>
      </c>
      <c r="H12" s="2" t="s">
        <v>28</v>
      </c>
      <c r="I12" s="3" t="str">
        <f>INDEX(Table1[stockName], MATCH(H12,Table1[StockID],0))</f>
        <v>hp laptops</v>
      </c>
      <c r="J12" s="2">
        <v>2</v>
      </c>
      <c r="K12" s="2">
        <v>1000</v>
      </c>
      <c r="L12" s="3">
        <f>PRODUCT(Table7[[#This Row],[Quantity]],Table7[[#This Row],[UnitCostPrice]])</f>
        <v>2000</v>
      </c>
      <c r="U12" s="6" t="s">
        <v>37</v>
      </c>
      <c r="V12" s="7" t="str">
        <f>INDEX(Table1[stockName], MATCH(Table6[[#This Row],[StockID]],Table1[StockID],0))</f>
        <v>cpu</v>
      </c>
      <c r="W12" s="7">
        <f>SUMIF(Table7[StockID],Table6[StockID],Table7[Quantity])</f>
        <v>13</v>
      </c>
      <c r="X12" s="7">
        <f>SUMIF(Table24[StockID],Table6[StockID],Table24[Quantity])</f>
        <v>0</v>
      </c>
      <c r="Y12" s="7">
        <f>(Table6[[#This Row],[Purchases]]-Table6[[#This Row],[Sales]])</f>
        <v>13</v>
      </c>
      <c r="Z12" s="7">
        <f>SUMIF(Table7[StockID],Table6[StockID],Table7[Total])</f>
        <v>201200</v>
      </c>
      <c r="AA12" s="7">
        <f>SUMIF(Table24[StockID],Table6[StockID],Table24[Total])</f>
        <v>0</v>
      </c>
      <c r="AB12" s="7">
        <f>(Table6[[#This Row],[Sales2]]-Table6[[#This Row],[Purchases2]])</f>
        <v>-201200</v>
      </c>
      <c r="AC12" s="10">
        <f>(Table6[[#This Row],[Purchases2]]-Table6[[#This Row],[Sales2]])</f>
        <v>201200</v>
      </c>
    </row>
    <row r="13" spans="2:29" ht="15.6" x14ac:dyDescent="0.35">
      <c r="G13" s="13">
        <f ca="1">NOW()</f>
        <v>44429.796959722225</v>
      </c>
      <c r="H13" s="2" t="s">
        <v>30</v>
      </c>
      <c r="I13" s="3" t="str">
        <f>INDEX(Table1[stockName], MATCH(H13,Table1[StockID],0))</f>
        <v>switches</v>
      </c>
      <c r="J13" s="2">
        <v>3</v>
      </c>
      <c r="K13" s="2">
        <v>200</v>
      </c>
      <c r="L13" s="3">
        <f>PRODUCT(Table7[[#This Row],[Quantity]],Table7[[#This Row],[UnitCostPrice]])</f>
        <v>600</v>
      </c>
    </row>
    <row r="14" spans="2:29" ht="15.6" x14ac:dyDescent="0.35">
      <c r="G14" s="13">
        <f ca="1">NOW()</f>
        <v>44429.796959722225</v>
      </c>
      <c r="H14" s="2" t="s">
        <v>28</v>
      </c>
      <c r="I14" s="14" t="str">
        <f>INDEX(Table1[stockName], MATCH(H14,Table1[StockID],0))</f>
        <v>hp laptops</v>
      </c>
      <c r="J14" s="2">
        <v>2</v>
      </c>
      <c r="K14" s="2">
        <v>200</v>
      </c>
      <c r="L14" s="2">
        <f>PRODUCT(Table7[[#This Row],[Quantity]],Table7[[#This Row],[UnitCostPrice]])</f>
        <v>400</v>
      </c>
    </row>
    <row r="15" spans="2:29" ht="15.6" x14ac:dyDescent="0.35">
      <c r="G15" s="13"/>
      <c r="H15" s="2" t="s">
        <v>76</v>
      </c>
      <c r="I15" s="14"/>
      <c r="J15" s="2"/>
      <c r="K15" s="2"/>
      <c r="L15" s="2"/>
    </row>
    <row r="16" spans="2:29" ht="15.6" x14ac:dyDescent="0.35">
      <c r="G16" s="13">
        <f ca="1">NOW()</f>
        <v>44429.796959722225</v>
      </c>
      <c r="H16" s="2" t="s">
        <v>78</v>
      </c>
      <c r="I16" s="14" t="e">
        <f>INDEX(Table1[stockName], MATCH(H16,Table1[StockID],0))</f>
        <v>#N/A</v>
      </c>
      <c r="J16" s="2">
        <v>50</v>
      </c>
      <c r="K16" s="2">
        <v>1000</v>
      </c>
      <c r="L16" s="2">
        <f>PRODUCT(Table7[[#This Row],[Quantity]],Table7[[#This Row],[UnitCostPrice]])</f>
        <v>50000</v>
      </c>
    </row>
    <row r="18" spans="13:13" x14ac:dyDescent="0.3">
      <c r="M18" t="s">
        <v>54</v>
      </c>
    </row>
  </sheetData>
  <mergeCells count="3">
    <mergeCell ref="U1:V1"/>
    <mergeCell ref="W1:Y1"/>
    <mergeCell ref="Z1:AC1"/>
  </mergeCells>
  <dataValidations count="2">
    <dataValidation type="list" allowBlank="1" showInputMessage="1" showErrorMessage="1" sqref="O2:O11">
      <formula1>$H$2:$H$16</formula1>
    </dataValidation>
    <dataValidation type="list" allowBlank="1" showInputMessage="1" showErrorMessage="1" sqref="U3:U12 H2:H16">
      <formula1>$B$2:$B$12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workbookViewId="0">
      <selection activeCell="D27" sqref="D27"/>
    </sheetView>
  </sheetViews>
  <sheetFormatPr defaultRowHeight="14.4" x14ac:dyDescent="0.3"/>
  <cols>
    <col min="1" max="1" width="15" customWidth="1"/>
    <col min="2" max="2" width="14.109375" customWidth="1"/>
    <col min="3" max="3" width="17.77734375" customWidth="1"/>
    <col min="4" max="4" width="18" customWidth="1"/>
    <col min="5" max="5" width="15.88671875" customWidth="1"/>
    <col min="6" max="6" width="13.6640625" customWidth="1"/>
    <col min="7" max="7" width="13.77734375" customWidth="1"/>
    <col min="8" max="8" width="16.109375" customWidth="1"/>
  </cols>
  <sheetData>
    <row r="1" spans="1:8" ht="15.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ht="15.6" x14ac:dyDescent="0.35">
      <c r="A2" s="1"/>
      <c r="B2" s="1"/>
      <c r="C2" s="1"/>
      <c r="D2" s="1"/>
      <c r="E2" s="1"/>
      <c r="F2" s="1"/>
      <c r="G2" s="1"/>
      <c r="H2" s="1"/>
    </row>
    <row r="3" spans="1:8" ht="15.6" x14ac:dyDescent="0.35">
      <c r="A3" s="2" t="s">
        <v>14</v>
      </c>
      <c r="B3" s="2" t="s">
        <v>18</v>
      </c>
      <c r="C3" s="2">
        <v>690000000</v>
      </c>
      <c r="D3" s="2" t="s">
        <v>19</v>
      </c>
      <c r="E3" s="2"/>
      <c r="F3" s="2"/>
      <c r="G3" s="2" t="s">
        <v>20</v>
      </c>
      <c r="H3" s="1"/>
    </row>
    <row r="4" spans="1:8" ht="15.6" x14ac:dyDescent="0.35">
      <c r="A4" s="2" t="s">
        <v>14</v>
      </c>
      <c r="B4" s="2" t="s">
        <v>18</v>
      </c>
      <c r="C4" s="2">
        <v>688888888</v>
      </c>
      <c r="D4" s="2" t="s">
        <v>21</v>
      </c>
      <c r="E4" s="2"/>
      <c r="F4" s="2" t="s">
        <v>22</v>
      </c>
      <c r="G4" s="2" t="s">
        <v>23</v>
      </c>
    </row>
    <row r="5" spans="1:8" ht="15.6" x14ac:dyDescent="0.35">
      <c r="A5" s="2" t="s">
        <v>8</v>
      </c>
      <c r="B5" s="2" t="s">
        <v>9</v>
      </c>
      <c r="C5" s="2" t="s">
        <v>10</v>
      </c>
      <c r="D5" s="2" t="s">
        <v>11</v>
      </c>
      <c r="E5" s="2"/>
      <c r="F5" s="2" t="s">
        <v>12</v>
      </c>
      <c r="G5" s="2" t="s">
        <v>13</v>
      </c>
    </row>
    <row r="6" spans="1:8" ht="15.6" x14ac:dyDescent="0.35">
      <c r="A6" s="2"/>
      <c r="B6" s="2" t="s">
        <v>9</v>
      </c>
      <c r="C6" s="2" t="s">
        <v>10</v>
      </c>
      <c r="D6" s="2" t="s">
        <v>11</v>
      </c>
      <c r="E6" s="2"/>
      <c r="F6" s="2" t="s">
        <v>12</v>
      </c>
      <c r="G6" s="2" t="s">
        <v>13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njei nicodemus</dc:creator>
  <cp:lastModifiedBy>njei nicodemus</cp:lastModifiedBy>
  <dcterms:created xsi:type="dcterms:W3CDTF">2021-08-16T05:03:38Z</dcterms:created>
  <dcterms:modified xsi:type="dcterms:W3CDTF">2021-08-21T18:07:38Z</dcterms:modified>
</cp:coreProperties>
</file>